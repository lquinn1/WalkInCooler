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olBot\"/>
    </mc:Choice>
  </mc:AlternateContent>
  <xr:revisionPtr revIDLastSave="0" documentId="8_{5477D1FC-2546-4C8B-A6F9-FEF991EA888B}" xr6:coauthVersionLast="47" xr6:coauthVersionMax="47" xr10:uidLastSave="{00000000-0000-0000-0000-000000000000}"/>
  <bookViews>
    <workbookView xWindow="7445" yWindow="2894" windowWidth="26083" windowHeight="13829" xr2:uid="{88216AA6-B90E-480A-8923-23B6294B44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D14" i="1"/>
  <c r="D13" i="1"/>
  <c r="F13" i="1" s="1"/>
  <c r="D12" i="1"/>
  <c r="F12" i="1" s="1"/>
  <c r="D11" i="1"/>
  <c r="F11" i="1" s="1"/>
  <c r="D10" i="1"/>
  <c r="F10" i="1" s="1"/>
  <c r="D9" i="1"/>
  <c r="F9" i="1" s="1"/>
  <c r="D8" i="1"/>
  <c r="F8" i="1" s="1"/>
  <c r="D7" i="1"/>
  <c r="F7" i="1" s="1"/>
  <c r="D6" i="1"/>
  <c r="F6" i="1" s="1"/>
  <c r="D5" i="1"/>
  <c r="F5" i="1" s="1"/>
  <c r="D4" i="1"/>
  <c r="F4" i="1" s="1"/>
  <c r="D2" i="1"/>
  <c r="D3" i="1"/>
  <c r="F3" i="1" s="1"/>
  <c r="F2" i="1"/>
  <c r="F15" i="1" s="1"/>
</calcChain>
</file>

<file path=xl/sharedStrings.xml><?xml version="1.0" encoding="utf-8"?>
<sst xmlns="http://schemas.openxmlformats.org/spreadsheetml/2006/main" count="19" uniqueCount="19">
  <si>
    <t>Item</t>
  </si>
  <si>
    <t>QTY</t>
  </si>
  <si>
    <t>Price</t>
  </si>
  <si>
    <t>Price per item</t>
  </si>
  <si>
    <t>18650 Battery</t>
  </si>
  <si>
    <t>UPS PS</t>
  </si>
  <si>
    <t>Weatherproof USB</t>
  </si>
  <si>
    <t>3Pin Connector</t>
  </si>
  <si>
    <t>2Pin Connector</t>
  </si>
  <si>
    <t>Project Box</t>
  </si>
  <si>
    <t>DS18B20 Temp Probe</t>
  </si>
  <si>
    <t>ESP32 MicroController</t>
  </si>
  <si>
    <t>Relay Board</t>
  </si>
  <si>
    <t>OLED Screen</t>
  </si>
  <si>
    <t>Breakout Board</t>
  </si>
  <si>
    <t>Terminal Block</t>
  </si>
  <si>
    <t>Qty needed</t>
  </si>
  <si>
    <t>Sub total</t>
  </si>
  <si>
    <t>5W 100 ohm Resistor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</si>
</sst>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3E3B8C-60EA-42C1-A0AB-B4DB28AEBFAB}" name="Table1" displayName="Table1" ref="A1:F15" totalsRowShown="0">
  <autoFilter ref="A1:F15" xr:uid="{253E3B8C-60EA-42C1-A0AB-B4DB28AEBFAB}"/>
  <tableColumns count="6">
    <tableColumn id="1" xr3:uid="{F843E6BC-C6B7-4E6A-B96F-917B03186DEC}" name="Item"/>
    <tableColumn id="2" xr3:uid="{386094F5-EA51-4865-BA52-F0EF21B3C6FB}" name="QTY"/>
    <tableColumn id="3" xr3:uid="{0C1DE259-4725-4CE7-BFD8-D1EE42785AE6}" name="Price"/>
    <tableColumn id="4" xr3:uid="{7E759C0D-5AB0-41F7-82C7-55BF7C9105BB}" name="Price per item"/>
    <tableColumn id="5" xr3:uid="{A4A90A4A-68CB-4F8F-8BEE-3D4080A0E73D}" name="Qty needed"/>
    <tableColumn id="6" xr3:uid="{42A2F90F-3E12-481A-985A-1AFD7344C120}" name="Sub total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D2D7-17DB-4660-AA52-D42DE909F596}">
  <dimension ref="A1:F15"/>
  <sheetViews>
    <sheetView tabSelected="1" workbookViewId="0">
      <selection activeCell="E21" sqref="E21"/>
    </sheetView>
  </sheetViews>
  <sheetFormatPr defaultRowHeight="14.3" x14ac:dyDescent="0.25"/>
  <cols>
    <col min="1" max="1" width="18.375" bestFit="1" customWidth="1"/>
    <col min="4" max="4" width="14.25" customWidth="1"/>
    <col min="5" max="5" width="12.25" customWidth="1"/>
    <col min="6" max="6" width="10.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17</v>
      </c>
    </row>
    <row r="2" spans="1:6" x14ac:dyDescent="0.25">
      <c r="A2" t="s">
        <v>4</v>
      </c>
      <c r="B2">
        <v>8</v>
      </c>
      <c r="C2">
        <v>28.99</v>
      </c>
      <c r="D2">
        <f>C2/B2</f>
        <v>3.6237499999999998</v>
      </c>
      <c r="E2">
        <v>2</v>
      </c>
      <c r="F2">
        <f>D2*E2</f>
        <v>7.2474999999999996</v>
      </c>
    </row>
    <row r="3" spans="1:6" x14ac:dyDescent="0.25">
      <c r="A3" t="s">
        <v>5</v>
      </c>
      <c r="B3">
        <v>3</v>
      </c>
      <c r="C3">
        <v>13.99</v>
      </c>
      <c r="D3">
        <f>C3/B3</f>
        <v>4.6633333333333331</v>
      </c>
      <c r="E3">
        <v>1</v>
      </c>
      <c r="F3">
        <f>D3*E3</f>
        <v>4.6633333333333331</v>
      </c>
    </row>
    <row r="4" spans="1:6" x14ac:dyDescent="0.25">
      <c r="A4" t="s">
        <v>6</v>
      </c>
      <c r="B4">
        <v>1</v>
      </c>
      <c r="C4">
        <v>15.99</v>
      </c>
      <c r="D4">
        <f>C4/B4</f>
        <v>15.99</v>
      </c>
      <c r="E4">
        <v>1</v>
      </c>
      <c r="F4">
        <f>D4*E4</f>
        <v>15.99</v>
      </c>
    </row>
    <row r="5" spans="1:6" x14ac:dyDescent="0.25">
      <c r="A5" t="s">
        <v>7</v>
      </c>
      <c r="B5">
        <v>1</v>
      </c>
      <c r="C5">
        <v>8.75</v>
      </c>
      <c r="D5">
        <f>C5/B5</f>
        <v>8.75</v>
      </c>
      <c r="E5">
        <v>3</v>
      </c>
      <c r="F5">
        <f>E5*D5</f>
        <v>26.25</v>
      </c>
    </row>
    <row r="6" spans="1:6" x14ac:dyDescent="0.25">
      <c r="A6" t="s">
        <v>8</v>
      </c>
      <c r="B6">
        <v>1</v>
      </c>
      <c r="C6">
        <v>8.49</v>
      </c>
      <c r="D6">
        <f>C6/B6</f>
        <v>8.49</v>
      </c>
      <c r="E6">
        <v>1</v>
      </c>
      <c r="F6">
        <f>D6*E6</f>
        <v>8.49</v>
      </c>
    </row>
    <row r="7" spans="1:6" x14ac:dyDescent="0.25">
      <c r="A7" t="s">
        <v>9</v>
      </c>
      <c r="B7">
        <v>1</v>
      </c>
      <c r="C7">
        <v>9.99</v>
      </c>
      <c r="D7">
        <f>C7/B7</f>
        <v>9.99</v>
      </c>
      <c r="E7">
        <v>1</v>
      </c>
      <c r="F7">
        <f>D7*E7</f>
        <v>9.99</v>
      </c>
    </row>
    <row r="8" spans="1:6" x14ac:dyDescent="0.25">
      <c r="A8" t="s">
        <v>10</v>
      </c>
      <c r="B8">
        <v>5</v>
      </c>
      <c r="C8">
        <v>9.99</v>
      </c>
      <c r="D8">
        <f>C8/B8</f>
        <v>1.998</v>
      </c>
      <c r="E8">
        <v>3</v>
      </c>
      <c r="F8">
        <f>D8*E8</f>
        <v>5.9939999999999998</v>
      </c>
    </row>
    <row r="9" spans="1:6" x14ac:dyDescent="0.25">
      <c r="A9" t="s">
        <v>11</v>
      </c>
      <c r="B9">
        <v>2</v>
      </c>
      <c r="C9">
        <v>23.74</v>
      </c>
      <c r="D9">
        <f>C9/B9</f>
        <v>11.87</v>
      </c>
      <c r="E9">
        <v>1</v>
      </c>
      <c r="F9">
        <f>D9*E9</f>
        <v>11.87</v>
      </c>
    </row>
    <row r="10" spans="1:6" x14ac:dyDescent="0.25">
      <c r="A10" t="s">
        <v>12</v>
      </c>
      <c r="B10">
        <v>2</v>
      </c>
      <c r="C10">
        <v>9.99</v>
      </c>
      <c r="D10">
        <f>C10/B10</f>
        <v>4.9950000000000001</v>
      </c>
      <c r="E10">
        <v>1</v>
      </c>
      <c r="F10">
        <f>D10*E10</f>
        <v>4.9950000000000001</v>
      </c>
    </row>
    <row r="11" spans="1:6" x14ac:dyDescent="0.25">
      <c r="A11" t="s">
        <v>13</v>
      </c>
      <c r="B11">
        <v>5</v>
      </c>
      <c r="C11">
        <v>14.99</v>
      </c>
      <c r="D11">
        <f>C11/B11</f>
        <v>2.9980000000000002</v>
      </c>
      <c r="E11">
        <v>1</v>
      </c>
      <c r="F11">
        <f>D11*E11</f>
        <v>2.9980000000000002</v>
      </c>
    </row>
    <row r="12" spans="1:6" x14ac:dyDescent="0.25">
      <c r="A12" t="s">
        <v>14</v>
      </c>
      <c r="B12">
        <v>5</v>
      </c>
      <c r="C12">
        <v>8.99</v>
      </c>
      <c r="D12">
        <f>C12/B12</f>
        <v>1.798</v>
      </c>
      <c r="E12">
        <v>1</v>
      </c>
      <c r="F12">
        <f>D12*E12</f>
        <v>1.798</v>
      </c>
    </row>
    <row r="13" spans="1:6" x14ac:dyDescent="0.25">
      <c r="A13" t="s">
        <v>15</v>
      </c>
      <c r="B13">
        <v>10</v>
      </c>
      <c r="C13">
        <v>7.99</v>
      </c>
      <c r="D13">
        <f>C13/B13</f>
        <v>0.79900000000000004</v>
      </c>
      <c r="E13">
        <v>5</v>
      </c>
      <c r="F13">
        <f>D13*E13</f>
        <v>3.9950000000000001</v>
      </c>
    </row>
    <row r="14" spans="1:6" x14ac:dyDescent="0.25">
      <c r="A14" t="s">
        <v>18</v>
      </c>
      <c r="B14">
        <v>10</v>
      </c>
      <c r="C14">
        <v>5.99</v>
      </c>
      <c r="D14">
        <f>Table1[[#This Row],[Price]]/Table1[[#This Row],[QTY]]</f>
        <v>0.59899999999999998</v>
      </c>
      <c r="E14">
        <v>1</v>
      </c>
      <c r="F14">
        <f>Table1[[#This Row],[Price per item]]*Table1[[#This Row],[Qty needed]]</f>
        <v>0.59899999999999998</v>
      </c>
    </row>
    <row r="15" spans="1:6" x14ac:dyDescent="0.25">
      <c r="F15">
        <f>SUM(F2:F13)</f>
        <v>104.28083333333335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Quinn</dc:creator>
  <cp:lastModifiedBy>Luke Quinn</cp:lastModifiedBy>
  <dcterms:created xsi:type="dcterms:W3CDTF">2026-01-20T21:27:32Z</dcterms:created>
  <dcterms:modified xsi:type="dcterms:W3CDTF">2026-01-23T02:42:14Z</dcterms:modified>
</cp:coreProperties>
</file>